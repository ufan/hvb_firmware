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460"/>
  </bookViews>
  <sheets>
    <sheet name="MCU_Pin_Map" sheetId="1" r:id="rId1"/>
    <sheet name="Check_Summary" sheetId="2" r:id="rId2"/>
    <sheet name="Zephyr_Notes" sheetId="3" r:id="rId3"/>
    <sheet name="Source_Reference" sheetId="4" r:id="rId4"/>
  </sheets>
  <calcPr calcId="144525"/>
</workbook>
</file>

<file path=xl/sharedStrings.xml><?xml version="1.0" encoding="utf-8"?>
<sst xmlns="http://schemas.openxmlformats.org/spreadsheetml/2006/main" count="458" uniqueCount="298">
  <si>
    <t>STM32F429BIT6 MCU pin map — checked against official LQFP208 pin assignment</t>
  </si>
  <si>
    <t>Generated 2026-06-04 11:52. Based on schematic extraction and STM32F427xx/STM32F429xx datasheet DS9405 Rev 13.</t>
  </si>
  <si>
    <t>Schematic net</t>
  </si>
  <si>
    <t>Extracted STM32 pin</t>
  </si>
  <si>
    <t>Official pin name</t>
  </si>
  <si>
    <t>Extracted package pin</t>
  </si>
  <si>
    <t>Official LQFP208 pin</t>
  </si>
  <si>
    <t>Check result</t>
  </si>
  <si>
    <t>Direction/type</t>
  </si>
  <si>
    <t>Firmware function</t>
  </si>
  <si>
    <t>Recommended Zephyr/peripheral</t>
  </si>
  <si>
    <t>Official AF / datasheet notes</t>
  </si>
  <si>
    <t>Source</t>
  </si>
  <si>
    <t>Notes</t>
  </si>
  <si>
    <t>UART_RX</t>
  </si>
  <si>
    <t>PG9</t>
  </si>
  <si>
    <t>OK</t>
  </si>
  <si>
    <t>UART RX</t>
  </si>
  <si>
    <t>RS-485 / board UART receive</t>
  </si>
  <si>
    <t>USART6_RX or GPIO/UART</t>
  </si>
  <si>
    <t>PG9 supports USART6_RX</t>
  </si>
  <si>
    <t>Schematic MCU page U27B; DS9405 Table 10/12</t>
  </si>
  <si>
    <t>Net label is generic UART_RX; for Zephyr use USART6 RX on PG9 if hardware UART is used.</t>
  </si>
  <si>
    <t>RS485_DIR</t>
  </si>
  <si>
    <t>PG11</t>
  </si>
  <si>
    <t>GPIO output</t>
  </si>
  <si>
    <t>Half-duplex RS485 driver enable/direction</t>
  </si>
  <si>
    <t>GPIO</t>
  </si>
  <si>
    <t>PG11 supports Ethernet/FMC/LCD AFs; GPIO is fine</t>
  </si>
  <si>
    <t>Drive MAX3485 DE/RE control.</t>
  </si>
  <si>
    <t>UART_TX</t>
  </si>
  <si>
    <t>PG14</t>
  </si>
  <si>
    <t>UART TX</t>
  </si>
  <si>
    <t>RS-485 / board UART transmit</t>
  </si>
  <si>
    <t>USART6_TX or GPIO/UART</t>
  </si>
  <si>
    <t>PG14 supports USART6_TX</t>
  </si>
  <si>
    <t>Net label is generic UART_TX; for Zephyr use USART6 TX on PG14 if hardware UART is used.</t>
  </si>
  <si>
    <t>SYS_MOD0</t>
  </si>
  <si>
    <t>PI5</t>
  </si>
  <si>
    <t>GPIO input</t>
  </si>
  <si>
    <t>System mode bit 0</t>
  </si>
  <si>
    <t>PI5 GPIO / LTDC AF; GPIO is fine</t>
  </si>
  <si>
    <t>Schematic MCU page U27B; DS9405 Table 10</t>
  </si>
  <si>
    <t>Mode switch table on RS485/system page.</t>
  </si>
  <si>
    <t>SYS_MOD1</t>
  </si>
  <si>
    <t>PI7</t>
  </si>
  <si>
    <t>System mode bit 1</t>
  </si>
  <si>
    <t>PI7 GPIO / LTDC AF; GPIO is fine</t>
  </si>
  <si>
    <t>SYS_RUN</t>
  </si>
  <si>
    <t>PI12</t>
  </si>
  <si>
    <t>Run/status LED</t>
  </si>
  <si>
    <t>PI11 supports OTG_HS_ULPI_DIR / EVENTOUT; GPIO is fine</t>
  </si>
  <si>
    <t>Connected to D3 LED circuit.</t>
  </si>
  <si>
    <t>MCU_HV2_ADC_A1</t>
  </si>
  <si>
    <t>PI14</t>
  </si>
  <si>
    <t>HV2 ADS1232 channel select A1</t>
  </si>
  <si>
    <t>PI14 supports LTDC_CLK / EVENTOUT; GPIO is fine</t>
  </si>
  <si>
    <t>ADS1232 A1 control.</t>
  </si>
  <si>
    <t>MCU_HV1_ADC_GAIN0</t>
  </si>
  <si>
    <t>PH12</t>
  </si>
  <si>
    <t>HV1 ADS1232 gain select GAIN0</t>
  </si>
  <si>
    <t>PH12 GPIO / FMC_D20 / DCMI_D3 / LCD_R6</t>
  </si>
  <si>
    <t>ADS1232 GAIN0 control.</t>
  </si>
  <si>
    <t>MCU_HV2_DAC_SPI2_CS</t>
  </si>
  <si>
    <t>PA4</t>
  </si>
  <si>
    <t>PIN OK; peripheral label mismatch</t>
  </si>
  <si>
    <t>SPI CS output</t>
  </si>
  <si>
    <t>HV2 AD5541 chip select</t>
  </si>
  <si>
    <t>SPI1_NSS or GPIO CS</t>
  </si>
  <si>
    <t>PA4 supports SPI1_NSS; not SPI2_NSS</t>
  </si>
  <si>
    <t>Schematic MCU page U27C; DS9405 Table 10/12</t>
  </si>
  <si>
    <t>Schematic net says SPI2, but PA4/PA5/PA7 map naturally to SPI1 NSS/SCK/MOSI.</t>
  </si>
  <si>
    <t>MCU_HV2_DAC_SPI2_SCK</t>
  </si>
  <si>
    <t>PA5</t>
  </si>
  <si>
    <t>SPI clock</t>
  </si>
  <si>
    <t>HV2 AD5541 SCLK</t>
  </si>
  <si>
    <t>SPI1_SCK or GPIO</t>
  </si>
  <si>
    <t>PA5 supports SPI1_SCK; not SPI2_SCK</t>
  </si>
  <si>
    <t>Use SPI1 for HV2 DAC or bit-bang as GPIO.</t>
  </si>
  <si>
    <t>MCU_HV2_DAC_SPI2_MOSI</t>
  </si>
  <si>
    <t>PA7</t>
  </si>
  <si>
    <t>SPI MOSI</t>
  </si>
  <si>
    <t>HV2 AD5541 DIN</t>
  </si>
  <si>
    <t>SPI1_MOSI or GPIO</t>
  </si>
  <si>
    <t>PA7 supports SPI1_MOSI; not SPI2_MOSI</t>
  </si>
  <si>
    <t>AD5541 has no MISO.</t>
  </si>
  <si>
    <t>I2C1_SCL</t>
  </si>
  <si>
    <t>PB8</t>
  </si>
  <si>
    <t>I2C clock</t>
  </si>
  <si>
    <t>SHT31 SCL</t>
  </si>
  <si>
    <t>PB8 supports I2C1_SCL</t>
  </si>
  <si>
    <t>SHT31 page lists I2C address 0x44.</t>
  </si>
  <si>
    <t>I2C1_SDA</t>
  </si>
  <si>
    <t>PB9</t>
  </si>
  <si>
    <t>I2C data</t>
  </si>
  <si>
    <t>SHT31 SDA</t>
  </si>
  <si>
    <t>PB9 supports I2C1_SDA</t>
  </si>
  <si>
    <t>MCU_HV1_DAC_SPI2_CS</t>
  </si>
  <si>
    <t>PB12</t>
  </si>
  <si>
    <t>HV1 AD5541 chip select</t>
  </si>
  <si>
    <t>SPI2_NSS or GPIO CS</t>
  </si>
  <si>
    <t>PB12 supports SPI2_NSS</t>
  </si>
  <si>
    <t>HV1 DAC can use SPI2.</t>
  </si>
  <si>
    <t>MCU_HV1_DAC_SPI2_SCK</t>
  </si>
  <si>
    <t>PB13</t>
  </si>
  <si>
    <t>HV1 AD5541 SCLK</t>
  </si>
  <si>
    <t>SPI2_SCK</t>
  </si>
  <si>
    <t>PB13 supports SPI2_SCK</t>
  </si>
  <si>
    <t>HV1 DAC bus.</t>
  </si>
  <si>
    <t>MCU_HV1_DAC_SPI2_MOSI</t>
  </si>
  <si>
    <t>PB15</t>
  </si>
  <si>
    <t>HV1 AD5541 DIN</t>
  </si>
  <si>
    <t>SPI2_MOSI</t>
  </si>
  <si>
    <t>PB15 supports SPI2_MOSI</t>
  </si>
  <si>
    <t>No MISO for AD5541.</t>
  </si>
  <si>
    <t>MCU_HV2_R/S</t>
  </si>
  <si>
    <t>PC4</t>
  </si>
  <si>
    <t>HV2 HV module run/stop</t>
  </si>
  <si>
    <t>PC4 has ADC12_IN14/Ethernet AF; GPIO is fine</t>
  </si>
  <si>
    <t>Schematic MCU page U27C; DS9405 Table 10</t>
  </si>
  <si>
    <t>Set safe disabled state on boot.</t>
  </si>
  <si>
    <t>MCU_HV1_R/S</t>
  </si>
  <si>
    <t>PD9</t>
  </si>
  <si>
    <t>HV1 HV module run/stop</t>
  </si>
  <si>
    <t>PD9 supports USART3_RX / FMC_D14; GPIO is fine</t>
  </si>
  <si>
    <t>I2C1_ALERT</t>
  </si>
  <si>
    <t>PE0</t>
  </si>
  <si>
    <t>GPIO input/interrupt</t>
  </si>
  <si>
    <t>SHT31 alert</t>
  </si>
  <si>
    <t>GPIO interrupt</t>
  </si>
  <si>
    <t>PE0 GPIO / FMC_NBL0 / EVENTOUT</t>
  </si>
  <si>
    <t>Temperature/humidity alert input.</t>
  </si>
  <si>
    <t>MCU_HV1_ADC_A1</t>
  </si>
  <si>
    <t>PE7</t>
  </si>
  <si>
    <t>HV1 ADS1232 channel select A1</t>
  </si>
  <si>
    <t>PE7 GPIO / TIM1_ETR / UART7_RX / FMC_D4</t>
  </si>
  <si>
    <t>MCU_HV1_ADC_A0</t>
  </si>
  <si>
    <t>PE8</t>
  </si>
  <si>
    <t>HV1 ADS1232 channel select A0</t>
  </si>
  <si>
    <t>PE8 GPIO / UART7_TX / FMC_D5</t>
  </si>
  <si>
    <t>ADS1232 A0 control.</t>
  </si>
  <si>
    <t>MCU_HV1_ADC_GAIN1</t>
  </si>
  <si>
    <t>PE10</t>
  </si>
  <si>
    <t>HV1 ADS1232 gain select GAIN1</t>
  </si>
  <si>
    <t>PE10 GPIO / TIM1_CH2N / FMC_D7</t>
  </si>
  <si>
    <t>ADS1232 GAIN1 control.</t>
  </si>
  <si>
    <t>MCU_HV1_ADC_SPI1_CS</t>
  </si>
  <si>
    <t>PE11</t>
  </si>
  <si>
    <t>HV1 ADS1232 control/CS</t>
  </si>
  <si>
    <t>GPIO or SPI4_NSS</t>
  </si>
  <si>
    <t>PE11 supports SPI4_NSS; not SPI1_NSS</t>
  </si>
  <si>
    <t>ADS1232 is not a register SPI ADC; custom GPIO timing is recommended.</t>
  </si>
  <si>
    <t>MCU_HV1_ADC_SPI1_SCLK</t>
  </si>
  <si>
    <t>PE12</t>
  </si>
  <si>
    <t>ADC clock output</t>
  </si>
  <si>
    <t>HV1 ADS1232 SCLK</t>
  </si>
  <si>
    <t>GPIO or SPI4_SCK</t>
  </si>
  <si>
    <t>PE12 supports SPI4_SCK; not SPI1_SCK</t>
  </si>
  <si>
    <t>Clock pulses read data from ADS1232.</t>
  </si>
  <si>
    <t>MCU_HV1_ADC_SPI1_MISO</t>
  </si>
  <si>
    <t>PE13</t>
  </si>
  <si>
    <t>ADC data input</t>
  </si>
  <si>
    <t>HV1 ADS1232 DOUT/DRDY</t>
  </si>
  <si>
    <t>GPIO input or SPI4_MISO</t>
  </si>
  <si>
    <t>PE13 supports SPI4_MISO; not SPI1_MISO</t>
  </si>
  <si>
    <t>Use interrupt/poll for DRDY, then clock out data.</t>
  </si>
  <si>
    <t>MCU_HV2_ADC_A0</t>
  </si>
  <si>
    <t>PF3</t>
  </si>
  <si>
    <t>HV2 ADS1232 channel select A0</t>
  </si>
  <si>
    <t>PF3 GPIO / FMC_A3 / ADC3_IN9</t>
  </si>
  <si>
    <t>MCU_HV2_ADC_GAIN1</t>
  </si>
  <si>
    <t>PF4</t>
  </si>
  <si>
    <t>HV2 ADS1232 gain select GAIN1</t>
  </si>
  <si>
    <t>PF4 GPIO / FMC_A4 / ADC3_IN14</t>
  </si>
  <si>
    <t>MCU_HV2_ADC_SPI1_CS</t>
  </si>
  <si>
    <t>PF6</t>
  </si>
  <si>
    <t>HV2 ADS1232 control/CS</t>
  </si>
  <si>
    <t>GPIO or SPI5_NSS</t>
  </si>
  <si>
    <t>PF6 supports SPI5_NSS; not SPI1_NSS</t>
  </si>
  <si>
    <t>ADS1232 custom GPIO driver recommended.</t>
  </si>
  <si>
    <t>MCU_HV2_ADC_SPI1_SCLK</t>
  </si>
  <si>
    <t>PF7</t>
  </si>
  <si>
    <t>HV2 ADS1232 SCLK</t>
  </si>
  <si>
    <t>GPIO or SPI5_SCK</t>
  </si>
  <si>
    <t>PF7 supports SPI5_SCK; not SPI1_SCK</t>
  </si>
  <si>
    <t>MCU_HV2_ADC_SPI1_MISO</t>
  </si>
  <si>
    <t>PF8</t>
  </si>
  <si>
    <t>HV2 ADS1232 DOUT/DRDY</t>
  </si>
  <si>
    <t>GPIO input or SPI5_MISO</t>
  </si>
  <si>
    <t>PF8 supports SPI5_MISO; not SPI1_MISO</t>
  </si>
  <si>
    <t>MCU_HV2_ADC_GAIN0</t>
  </si>
  <si>
    <t>PF10</t>
  </si>
  <si>
    <t>HV2 ADS1232 gain select GAIN0</t>
  </si>
  <si>
    <t>PF10 GPIO / FMC_INTR / ADC3_IN8</t>
  </si>
  <si>
    <t>SWDIO</t>
  </si>
  <si>
    <t>PA13</t>
  </si>
  <si>
    <t>PA13/JTMS-SWDIO</t>
  </si>
  <si>
    <t>debug</t>
  </si>
  <si>
    <t>SWD debug data</t>
  </si>
  <si>
    <t>PA13 is JTMS/SWDIO</t>
  </si>
  <si>
    <t>Schematic MCU page J2/U27C; DS9405 Table 10/12</t>
  </si>
  <si>
    <t>Programming/debug header J2.</t>
  </si>
  <si>
    <t>SWCLK</t>
  </si>
  <si>
    <t>PA14</t>
  </si>
  <si>
    <t>PA14/JTCK-SWCLK</t>
  </si>
  <si>
    <t>SWD debug clock</t>
  </si>
  <si>
    <t>PA14 is JTCK/SWCLK</t>
  </si>
  <si>
    <t>USART1_TX</t>
  </si>
  <si>
    <t>PC10</t>
  </si>
  <si>
    <t>PIN OK; net/peripheral name mismatch</t>
  </si>
  <si>
    <t>Debug/console header TX</t>
  </si>
  <si>
    <t>USART3_TX or UART4_TX</t>
  </si>
  <si>
    <t>PC10 supports USART3_TX / UART4_TX; not USART1_TX</t>
  </si>
  <si>
    <t>Schematic net says USART1_TX, but official AF is not USART1. Rename in firmware overlay.</t>
  </si>
  <si>
    <t>USART1_RX</t>
  </si>
  <si>
    <t>PC11</t>
  </si>
  <si>
    <t>Debug/console header RX</t>
  </si>
  <si>
    <t>USART3_RX or UART4_RX</t>
  </si>
  <si>
    <t>PC11 supports USART3_RX / UART4_RX; not USART1_RX</t>
  </si>
  <si>
    <t>Schematic net says USART1_RX, but official AF is not USART1. Rename in firmware overlay.</t>
  </si>
  <si>
    <t>BOOT0</t>
  </si>
  <si>
    <t>boot strap</t>
  </si>
  <si>
    <t>Boot mode select</t>
  </si>
  <si>
    <t>Dedicated BOOT0 pin</t>
  </si>
  <si>
    <t>Pulled down through R78; also shown at MCU BOOT0 pin.</t>
  </si>
  <si>
    <t>BOOT1</t>
  </si>
  <si>
    <t>PB2</t>
  </si>
  <si>
    <t>PB2-BOOT1 (PB2)</t>
  </si>
  <si>
    <t>GPIO/BOOT1</t>
  </si>
  <si>
    <t>PB2 is BOOT1 after reset</t>
  </si>
  <si>
    <t>Pulled down through R79.</t>
  </si>
  <si>
    <t>NRST</t>
  </si>
  <si>
    <t>reset</t>
  </si>
  <si>
    <t>MCU reset</t>
  </si>
  <si>
    <t>Reset</t>
  </si>
  <si>
    <t>Bidirectional reset pin with weak pull-up</t>
  </si>
  <si>
    <t>RC reset network and debug header.</t>
  </si>
  <si>
    <t>Item</t>
  </si>
  <si>
    <t>Result</t>
  </si>
  <si>
    <t>MCU part</t>
  </si>
  <si>
    <t>STM32F429BIT6</t>
  </si>
  <si>
    <t>Package inferred for official check</t>
  </si>
  <si>
    <t>LQFP208</t>
  </si>
  <si>
    <t>Official source section</t>
  </si>
  <si>
    <t>Datasheet DS9405 Rev 13, Section 4 Pinouts and pin description; Table 10 pin/ball definitions; Table 12 alternate function mapping</t>
  </si>
  <si>
    <t>Pin-number assignment check</t>
  </si>
  <si>
    <t>All extracted schematic GPIO/power-control/debug pin numbers match official LQFP208 pin assignment.</t>
  </si>
  <si>
    <t>Peripheral/net-name issues found</t>
  </si>
  <si>
    <t>HV2_DAC_SPI2_* are on PA4/PA5/PA7, which are SPI1 pins; HV1_ADC_SPI1_* are on PE11/PE12/PE13, which map to SPI4; HV2_ADC_SPI1_* are on PF6/PF7/PF8, which map to SPI5; USART1_TX/RX nets on PC10/PC11 are not USART1 AFs.</t>
  </si>
  <si>
    <t>Recommended firmware action</t>
  </si>
  <si>
    <t>Keep package pin assignments; rename Zephyr nodes/peripherals according to actual STM32 AFs or implement bit-banged/custom GPIO drivers where appropriate.</t>
  </si>
  <si>
    <t>Group</t>
  </si>
  <si>
    <t>Pins</t>
  </si>
  <si>
    <t>Recommended Zephyr modeling</t>
  </si>
  <si>
    <t>HV1 DAC</t>
  </si>
  <si>
    <t>PB12/PB13/PB15</t>
  </si>
  <si>
    <t>Use SPI2 with GPIO CS or normal SPI2 NSS; MOSI/SCK only</t>
  </si>
  <si>
    <t>HV2 DAC</t>
  </si>
  <si>
    <t>PA4/PA5/PA7</t>
  </si>
  <si>
    <t>Use SPI1 with GPIO CS, or bit-banged GPIO</t>
  </si>
  <si>
    <t>Schematic says SPI2, but official AF is SPI1.</t>
  </si>
  <si>
    <t>HV1 ADS1232</t>
  </si>
  <si>
    <t>PE11/PE12/PE13 + PE7/PE8/PE10/PH12</t>
  </si>
  <si>
    <t>Prefer custom GPIO timing driver; optionally use SPI4 for clock/data if timing fits</t>
  </si>
  <si>
    <t>ADS1232 DOUT/DRDY behavior is not a conventional register SPI protocol.</t>
  </si>
  <si>
    <t>HV2 ADS1232</t>
  </si>
  <si>
    <t>PF6/PF7/PF8 + PF3/PF4/PF10/PI14</t>
  </si>
  <si>
    <t>Prefer custom GPIO timing driver; optionally use SPI5 for clock/data if timing fits</t>
  </si>
  <si>
    <t>Use DRDY interrupt/polling before clocking out conversion data.</t>
  </si>
  <si>
    <t>RS-485</t>
  </si>
  <si>
    <t>PG14/PG9 + PG11</t>
  </si>
  <si>
    <t>USART6 TX/RX + GPIO direction</t>
  </si>
  <si>
    <t>PG14=USART6_TX, PG9=USART6_RX, PG11=DE/RE direction GPIO.</t>
  </si>
  <si>
    <t>Debug UART header</t>
  </si>
  <si>
    <t>PC10/PC11</t>
  </si>
  <si>
    <t>Use USART3 TX/RX or UART4 TX/RX, not USART1</t>
  </si>
  <si>
    <t>Schematic net names USART1_TX/RX are misleading for firmware.</t>
  </si>
  <si>
    <t>I2C sensor</t>
  </si>
  <si>
    <t>PB8/PB9 + PE0</t>
  </si>
  <si>
    <t>I2C1 + alert GPIO interrupt</t>
  </si>
  <si>
    <t>SHT31 address shown in schematic as 0x44.</t>
  </si>
  <si>
    <t>Safe HV boot</t>
  </si>
  <si>
    <t>PC4/PD9 + DAC outputs</t>
  </si>
  <si>
    <t>Initialize HV R/S off and DAC setpoint minimum before enabling commands</t>
  </si>
  <si>
    <t>High-voltage board safety default.</t>
  </si>
  <si>
    <t>Details</t>
  </si>
  <si>
    <t>Schematic</t>
  </si>
  <si>
    <t>schematics_without_page_2.pdf; MCU page is edited PDF page 7 / original schematic page 8.</t>
  </si>
  <si>
    <t>STM32 datasheet</t>
  </si>
  <si>
    <t>stm32f427vg_datasheet.pdf; DS9405 Rev 13, February 2026; STM32F427xx/STM32F429xx.</t>
  </si>
  <si>
    <t>Package check target</t>
  </si>
  <si>
    <t>STM32F429BIT6, interpreted as STM32F429BI in LQFP208 package.</t>
  </si>
  <si>
    <t>Official pin-number source</t>
  </si>
  <si>
    <t>Figure 15 STM32F42x LQFP208 pinout and Table 10 STM32F427xx/STM32F429xx pin and ball definitions.</t>
  </si>
  <si>
    <t>Official AF source</t>
  </si>
  <si>
    <t>Table 12 STM32F427xx/STM32F429xx alternate function mapping.</t>
  </si>
  <si>
    <t>Caution</t>
  </si>
  <si>
    <t>This workbook checks MCU package pin assignments and main AF compatibility. It does not validate PCB electrical constraints, signal integrity, isolation, or HV safety.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</si>
</sst>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_ ;_ * \-#,##0_ ;_ * &quot;-&quot;_ ;_ @_ "/>
    <numFmt numFmtId="44" formatCode="_(&quot;$&quot;* #,##0.00_);_(&quot;$&quot;* \(#,##0.00\);_(&quot;$&quot;* &quot;-&quot;??_);_(@_)"/>
    <numFmt numFmtId="177" formatCode="_ * #,##0.00_ ;_ * \-#,##0.00_ ;_ * &quot;-&quot;??_ ;_ @_ "/>
  </numFmts>
  <fonts count="24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4"/>
      <color rgb="FFFFFFFF"/>
      <name val="Carlito"/>
      <charset val="134"/>
    </font>
    <font>
      <i/>
      <sz val="11"/>
      <color rgb="FF1F2937"/>
      <name val="Carlito"/>
      <charset val="134"/>
    </font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3" fillId="17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0" borderId="2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1" fillId="0" borderId="1" applyNumberFormat="0" applyFill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3" fillId="16" borderId="8" applyNumberFormat="0" applyAlignment="0" applyProtection="0">
      <alignment vertical="center"/>
    </xf>
    <xf numFmtId="0" fontId="10" fillId="16" borderId="3" applyNumberFormat="0" applyAlignment="0" applyProtection="0">
      <alignment vertical="center"/>
    </xf>
    <xf numFmtId="0" fontId="14" fillId="20" borderId="4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0" fillId="0" borderId="0"/>
  </cellStyleXfs>
  <cellXfs count="8">
    <xf numFmtId="0" fontId="0" fillId="0" borderId="0" xfId="49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0" fontId="2" fillId="3" borderId="0" xfId="49" applyNumberFormat="1" applyFont="1" applyFill="1" applyBorder="1" applyAlignment="1">
      <alignment horizontal="center" vertical="top"/>
    </xf>
    <xf numFmtId="0" fontId="3" fillId="4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/>
    </xf>
    <xf numFmtId="0" fontId="1" fillId="2" borderId="0" xfId="49" applyNumberFormat="1" applyFont="1" applyFill="1" applyBorder="1" applyAlignment="1">
      <alignment horizontal="center" vertical="top" wrapText="1"/>
    </xf>
    <xf numFmtId="0" fontId="0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2">
    <dxf>
      <font>
        <b val="1"/>
        <color rgb="FF92400E"/>
      </font>
      <fill>
        <patternFill patternType="solid">
          <bgColor rgb="FFFDE68A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MCUPinMapChecked" displayName="MCUPinMapChecked" ref="A4:L42">
  <tableColumns count="12">
    <tableColumn id="1" name="Schematic net"/>
    <tableColumn id="2" name="Extracted STM32 pin"/>
    <tableColumn id="3" name="Official pin name"/>
    <tableColumn id="4" name="Extracted package pin"/>
    <tableColumn id="5" name="Official LQFP208 pin"/>
    <tableColumn id="6" name="Check result"/>
    <tableColumn id="7" name="Direction/type"/>
    <tableColumn id="8" name="Firmware function"/>
    <tableColumn id="9" name="Recommended Zephyr/peripheral"/>
    <tableColumn id="10" name="Official AF / datasheet notes"/>
    <tableColumn id="11" name="Source"/>
    <tableColumn id="12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heckSummary" displayName="CheckSummary" ref="A1:B7">
  <tableColumns count="2">
    <tableColumn id="1" name="Item"/>
    <tableColumn id="2" name="Resul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ZephyrNotes" displayName="ZephyrNotes" ref="A1:D9">
  <tableColumns count="4">
    <tableColumn id="1" name="Group"/>
    <tableColumn id="2" name="Pins"/>
    <tableColumn id="3" name="Recommended Zephyr modeling"/>
    <tableColumn id="4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Reference" displayName="SourceReference" ref="A1:B7">
  <tableColumns count="2">
    <tableColumn id="1" name="Source"/>
    <tableColumn id="2" name="Detai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2"/>
  <sheetViews>
    <sheetView tabSelected="1" workbookViewId="0">
      <selection activeCell="G10" sqref="G10"/>
    </sheetView>
  </sheetViews>
  <sheetFormatPr defaultColWidth="9" defaultRowHeight="15"/>
  <cols>
    <col min="1" max="1" width="28" customWidth="1"/>
    <col min="2" max="2" width="16" customWidth="1"/>
    <col min="3" max="3" width="20" customWidth="1"/>
    <col min="4" max="4" width="16" customWidth="1"/>
    <col min="5" max="5" width="18" customWidth="1"/>
    <col min="6" max="6" width="25" customWidth="1"/>
    <col min="7" max="7" width="18" customWidth="1"/>
    <col min="8" max="8" width="30" customWidth="1"/>
    <col min="9" max="9" width="28" customWidth="1"/>
    <col min="10" max="10" width="44" customWidth="1"/>
    <col min="11" max="11" width="34" customWidth="1"/>
    <col min="12" max="12" width="46" customWidth="1"/>
  </cols>
  <sheetData>
    <row r="1" ht="28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36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ht="32" customHeight="1" spans="1:1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</row>
    <row r="5" ht="30" spans="1:12">
      <c r="A5" s="7" t="s">
        <v>14</v>
      </c>
      <c r="B5" s="7" t="s">
        <v>15</v>
      </c>
      <c r="C5" s="7" t="s">
        <v>15</v>
      </c>
      <c r="D5" s="7">
        <v>178</v>
      </c>
      <c r="E5" s="7">
        <v>178</v>
      </c>
      <c r="F5" s="7" t="s">
        <v>16</v>
      </c>
      <c r="G5" s="7" t="s">
        <v>17</v>
      </c>
      <c r="H5" s="7" t="s">
        <v>18</v>
      </c>
      <c r="I5" s="7" t="s">
        <v>19</v>
      </c>
      <c r="J5" s="7" t="s">
        <v>20</v>
      </c>
      <c r="K5" s="7" t="s">
        <v>21</v>
      </c>
      <c r="L5" s="7" t="s">
        <v>22</v>
      </c>
    </row>
    <row r="6" ht="30" spans="1:12">
      <c r="A6" s="7" t="s">
        <v>23</v>
      </c>
      <c r="B6" s="7" t="s">
        <v>24</v>
      </c>
      <c r="C6" s="7" t="s">
        <v>24</v>
      </c>
      <c r="D6" s="7">
        <v>180</v>
      </c>
      <c r="E6" s="7">
        <v>180</v>
      </c>
      <c r="F6" s="7" t="s">
        <v>16</v>
      </c>
      <c r="G6" s="7" t="s">
        <v>25</v>
      </c>
      <c r="H6" s="7" t="s">
        <v>26</v>
      </c>
      <c r="I6" s="7" t="s">
        <v>27</v>
      </c>
      <c r="J6" s="7" t="s">
        <v>28</v>
      </c>
      <c r="K6" s="7" t="s">
        <v>21</v>
      </c>
      <c r="L6" s="7" t="s">
        <v>29</v>
      </c>
    </row>
    <row r="7" ht="30" spans="1:12">
      <c r="A7" s="7" t="s">
        <v>30</v>
      </c>
      <c r="B7" s="7" t="s">
        <v>31</v>
      </c>
      <c r="C7" s="7" t="s">
        <v>31</v>
      </c>
      <c r="D7" s="7">
        <v>183</v>
      </c>
      <c r="E7" s="7">
        <v>183</v>
      </c>
      <c r="F7" s="7" t="s">
        <v>16</v>
      </c>
      <c r="G7" s="7" t="s">
        <v>32</v>
      </c>
      <c r="H7" s="7" t="s">
        <v>33</v>
      </c>
      <c r="I7" s="7" t="s">
        <v>34</v>
      </c>
      <c r="J7" s="7" t="s">
        <v>35</v>
      </c>
      <c r="K7" s="7" t="s">
        <v>21</v>
      </c>
      <c r="L7" s="7" t="s">
        <v>36</v>
      </c>
    </row>
    <row r="8" ht="30" spans="1:12">
      <c r="A8" s="7" t="s">
        <v>37</v>
      </c>
      <c r="B8" s="7" t="s">
        <v>38</v>
      </c>
      <c r="C8" s="7" t="s">
        <v>38</v>
      </c>
      <c r="D8" s="7">
        <v>206</v>
      </c>
      <c r="E8" s="7">
        <v>206</v>
      </c>
      <c r="F8" s="7" t="s">
        <v>16</v>
      </c>
      <c r="G8" s="7" t="s">
        <v>39</v>
      </c>
      <c r="H8" s="7" t="s">
        <v>40</v>
      </c>
      <c r="I8" s="7" t="s">
        <v>27</v>
      </c>
      <c r="J8" s="7" t="s">
        <v>41</v>
      </c>
      <c r="K8" s="7" t="s">
        <v>42</v>
      </c>
      <c r="L8" s="7" t="s">
        <v>43</v>
      </c>
    </row>
    <row r="9" ht="30" spans="1:12">
      <c r="A9" s="7" t="s">
        <v>44</v>
      </c>
      <c r="B9" s="7" t="s">
        <v>45</v>
      </c>
      <c r="C9" s="7" t="s">
        <v>45</v>
      </c>
      <c r="D9" s="7">
        <v>208</v>
      </c>
      <c r="E9" s="7">
        <v>208</v>
      </c>
      <c r="F9" s="7" t="s">
        <v>16</v>
      </c>
      <c r="G9" s="7" t="s">
        <v>39</v>
      </c>
      <c r="H9" s="7" t="s">
        <v>46</v>
      </c>
      <c r="I9" s="7" t="s">
        <v>27</v>
      </c>
      <c r="J9" s="7" t="s">
        <v>47</v>
      </c>
      <c r="K9" s="7" t="s">
        <v>42</v>
      </c>
      <c r="L9" s="7" t="s">
        <v>43</v>
      </c>
    </row>
    <row r="10" ht="30" spans="1:12">
      <c r="A10" s="7" t="s">
        <v>48</v>
      </c>
      <c r="B10" s="7" t="s">
        <v>49</v>
      </c>
      <c r="C10" s="7" t="s">
        <v>49</v>
      </c>
      <c r="D10" s="7">
        <v>19</v>
      </c>
      <c r="E10" s="7">
        <v>19</v>
      </c>
      <c r="F10" s="7" t="s">
        <v>16</v>
      </c>
      <c r="G10" s="7" t="s">
        <v>25</v>
      </c>
      <c r="H10" s="7" t="s">
        <v>50</v>
      </c>
      <c r="I10" s="7" t="s">
        <v>27</v>
      </c>
      <c r="J10" s="7" t="s">
        <v>51</v>
      </c>
      <c r="K10" s="7" t="s">
        <v>42</v>
      </c>
      <c r="L10" s="7" t="s">
        <v>52</v>
      </c>
    </row>
    <row r="11" ht="30" spans="1:12">
      <c r="A11" s="7" t="s">
        <v>53</v>
      </c>
      <c r="B11" s="7" t="s">
        <v>54</v>
      </c>
      <c r="C11" s="7" t="s">
        <v>54</v>
      </c>
      <c r="D11" s="7">
        <v>21</v>
      </c>
      <c r="E11" s="7">
        <v>21</v>
      </c>
      <c r="F11" s="7" t="s">
        <v>16</v>
      </c>
      <c r="G11" s="7" t="s">
        <v>25</v>
      </c>
      <c r="H11" s="7" t="s">
        <v>55</v>
      </c>
      <c r="I11" s="7" t="s">
        <v>27</v>
      </c>
      <c r="J11" s="7" t="s">
        <v>56</v>
      </c>
      <c r="K11" s="7" t="s">
        <v>42</v>
      </c>
      <c r="L11" s="7" t="s">
        <v>57</v>
      </c>
    </row>
    <row r="12" ht="30" spans="1:12">
      <c r="A12" s="7" t="s">
        <v>58</v>
      </c>
      <c r="B12" s="7" t="s">
        <v>59</v>
      </c>
      <c r="C12" s="7" t="s">
        <v>59</v>
      </c>
      <c r="D12" s="7">
        <v>102</v>
      </c>
      <c r="E12" s="7">
        <v>102</v>
      </c>
      <c r="F12" s="7" t="s">
        <v>16</v>
      </c>
      <c r="G12" s="7" t="s">
        <v>25</v>
      </c>
      <c r="H12" s="7" t="s">
        <v>60</v>
      </c>
      <c r="I12" s="7" t="s">
        <v>27</v>
      </c>
      <c r="J12" s="7" t="s">
        <v>61</v>
      </c>
      <c r="K12" s="7" t="s">
        <v>21</v>
      </c>
      <c r="L12" s="7" t="s">
        <v>62</v>
      </c>
    </row>
    <row r="13" ht="30" spans="1:12">
      <c r="A13" s="7" t="s">
        <v>63</v>
      </c>
      <c r="B13" s="7" t="s">
        <v>64</v>
      </c>
      <c r="C13" s="7" t="s">
        <v>64</v>
      </c>
      <c r="D13" s="7">
        <v>53</v>
      </c>
      <c r="E13" s="7">
        <v>53</v>
      </c>
      <c r="F13" s="7" t="s">
        <v>65</v>
      </c>
      <c r="G13" s="7" t="s">
        <v>66</v>
      </c>
      <c r="H13" s="7" t="s">
        <v>67</v>
      </c>
      <c r="I13" s="7" t="s">
        <v>68</v>
      </c>
      <c r="J13" s="7" t="s">
        <v>69</v>
      </c>
      <c r="K13" s="7" t="s">
        <v>70</v>
      </c>
      <c r="L13" s="7" t="s">
        <v>71</v>
      </c>
    </row>
    <row r="14" ht="30" spans="1:12">
      <c r="A14" s="7" t="s">
        <v>72</v>
      </c>
      <c r="B14" s="7" t="s">
        <v>73</v>
      </c>
      <c r="C14" s="7" t="s">
        <v>73</v>
      </c>
      <c r="D14" s="7">
        <v>54</v>
      </c>
      <c r="E14" s="7">
        <v>54</v>
      </c>
      <c r="F14" s="7" t="s">
        <v>65</v>
      </c>
      <c r="G14" s="7" t="s">
        <v>74</v>
      </c>
      <c r="H14" s="7" t="s">
        <v>75</v>
      </c>
      <c r="I14" s="7" t="s">
        <v>76</v>
      </c>
      <c r="J14" s="7" t="s">
        <v>77</v>
      </c>
      <c r="K14" s="7" t="s">
        <v>70</v>
      </c>
      <c r="L14" s="7" t="s">
        <v>78</v>
      </c>
    </row>
    <row r="15" ht="30" spans="1:12">
      <c r="A15" s="7" t="s">
        <v>79</v>
      </c>
      <c r="B15" s="7" t="s">
        <v>80</v>
      </c>
      <c r="C15" s="7" t="s">
        <v>80</v>
      </c>
      <c r="D15" s="7">
        <v>56</v>
      </c>
      <c r="E15" s="7">
        <v>56</v>
      </c>
      <c r="F15" s="7" t="s">
        <v>65</v>
      </c>
      <c r="G15" s="7" t="s">
        <v>81</v>
      </c>
      <c r="H15" s="7" t="s">
        <v>82</v>
      </c>
      <c r="I15" s="7" t="s">
        <v>83</v>
      </c>
      <c r="J15" s="7" t="s">
        <v>84</v>
      </c>
      <c r="K15" s="7" t="s">
        <v>70</v>
      </c>
      <c r="L15" s="7" t="s">
        <v>85</v>
      </c>
    </row>
    <row r="16" ht="30" spans="1:12">
      <c r="A16" s="7" t="s">
        <v>86</v>
      </c>
      <c r="B16" s="7" t="s">
        <v>87</v>
      </c>
      <c r="C16" s="7" t="s">
        <v>87</v>
      </c>
      <c r="D16" s="7">
        <v>198</v>
      </c>
      <c r="E16" s="7">
        <v>198</v>
      </c>
      <c r="F16" s="7" t="s">
        <v>16</v>
      </c>
      <c r="G16" s="7" t="s">
        <v>88</v>
      </c>
      <c r="H16" s="7" t="s">
        <v>89</v>
      </c>
      <c r="I16" s="7" t="s">
        <v>86</v>
      </c>
      <c r="J16" s="7" t="s">
        <v>90</v>
      </c>
      <c r="K16" s="7" t="s">
        <v>70</v>
      </c>
      <c r="L16" s="7" t="s">
        <v>91</v>
      </c>
    </row>
    <row r="17" ht="30" spans="1:12">
      <c r="A17" s="7" t="s">
        <v>92</v>
      </c>
      <c r="B17" s="7" t="s">
        <v>93</v>
      </c>
      <c r="C17" s="7" t="s">
        <v>93</v>
      </c>
      <c r="D17" s="7">
        <v>199</v>
      </c>
      <c r="E17" s="7">
        <v>199</v>
      </c>
      <c r="F17" s="7" t="s">
        <v>16</v>
      </c>
      <c r="G17" s="7" t="s">
        <v>94</v>
      </c>
      <c r="H17" s="7" t="s">
        <v>95</v>
      </c>
      <c r="I17" s="7" t="s">
        <v>92</v>
      </c>
      <c r="J17" s="7" t="s">
        <v>96</v>
      </c>
      <c r="K17" s="7" t="s">
        <v>70</v>
      </c>
      <c r="L17" s="7" t="s">
        <v>91</v>
      </c>
    </row>
    <row r="18" ht="30" spans="1:12">
      <c r="A18" s="7" t="s">
        <v>97</v>
      </c>
      <c r="B18" s="7" t="s">
        <v>98</v>
      </c>
      <c r="C18" s="7" t="s">
        <v>98</v>
      </c>
      <c r="D18" s="7">
        <v>104</v>
      </c>
      <c r="E18" s="7">
        <v>104</v>
      </c>
      <c r="F18" s="7" t="s">
        <v>16</v>
      </c>
      <c r="G18" s="7" t="s">
        <v>66</v>
      </c>
      <c r="H18" s="7" t="s">
        <v>99</v>
      </c>
      <c r="I18" s="7" t="s">
        <v>100</v>
      </c>
      <c r="J18" s="7" t="s">
        <v>101</v>
      </c>
      <c r="K18" s="7" t="s">
        <v>70</v>
      </c>
      <c r="L18" s="7" t="s">
        <v>102</v>
      </c>
    </row>
    <row r="19" ht="30" spans="1:12">
      <c r="A19" s="7" t="s">
        <v>103</v>
      </c>
      <c r="B19" s="7" t="s">
        <v>104</v>
      </c>
      <c r="C19" s="7" t="s">
        <v>104</v>
      </c>
      <c r="D19" s="7">
        <v>105</v>
      </c>
      <c r="E19" s="7">
        <v>105</v>
      </c>
      <c r="F19" s="7" t="s">
        <v>16</v>
      </c>
      <c r="G19" s="7" t="s">
        <v>74</v>
      </c>
      <c r="H19" s="7" t="s">
        <v>105</v>
      </c>
      <c r="I19" s="7" t="s">
        <v>106</v>
      </c>
      <c r="J19" s="7" t="s">
        <v>107</v>
      </c>
      <c r="K19" s="7" t="s">
        <v>70</v>
      </c>
      <c r="L19" s="7" t="s">
        <v>108</v>
      </c>
    </row>
    <row r="20" ht="30" spans="1:12">
      <c r="A20" s="7" t="s">
        <v>109</v>
      </c>
      <c r="B20" s="7" t="s">
        <v>110</v>
      </c>
      <c r="C20" s="7" t="s">
        <v>110</v>
      </c>
      <c r="D20" s="7">
        <v>107</v>
      </c>
      <c r="E20" s="7">
        <v>107</v>
      </c>
      <c r="F20" s="7" t="s">
        <v>16</v>
      </c>
      <c r="G20" s="7" t="s">
        <v>81</v>
      </c>
      <c r="H20" s="7" t="s">
        <v>111</v>
      </c>
      <c r="I20" s="7" t="s">
        <v>112</v>
      </c>
      <c r="J20" s="7" t="s">
        <v>113</v>
      </c>
      <c r="K20" s="7" t="s">
        <v>70</v>
      </c>
      <c r="L20" s="7" t="s">
        <v>114</v>
      </c>
    </row>
    <row r="21" ht="30" spans="1:12">
      <c r="A21" s="7" t="s">
        <v>115</v>
      </c>
      <c r="B21" s="7" t="s">
        <v>116</v>
      </c>
      <c r="C21" s="7" t="s">
        <v>116</v>
      </c>
      <c r="D21" s="7">
        <v>57</v>
      </c>
      <c r="E21" s="7">
        <v>57</v>
      </c>
      <c r="F21" s="7" t="s">
        <v>16</v>
      </c>
      <c r="G21" s="7" t="s">
        <v>25</v>
      </c>
      <c r="H21" s="7" t="s">
        <v>117</v>
      </c>
      <c r="I21" s="7" t="s">
        <v>27</v>
      </c>
      <c r="J21" s="7" t="s">
        <v>118</v>
      </c>
      <c r="K21" s="7" t="s">
        <v>119</v>
      </c>
      <c r="L21" s="7" t="s">
        <v>120</v>
      </c>
    </row>
    <row r="22" ht="30" spans="1:12">
      <c r="A22" s="7" t="s">
        <v>121</v>
      </c>
      <c r="B22" s="7" t="s">
        <v>122</v>
      </c>
      <c r="C22" s="7" t="s">
        <v>122</v>
      </c>
      <c r="D22" s="7">
        <v>109</v>
      </c>
      <c r="E22" s="7">
        <v>109</v>
      </c>
      <c r="F22" s="7" t="s">
        <v>16</v>
      </c>
      <c r="G22" s="7" t="s">
        <v>25</v>
      </c>
      <c r="H22" s="7" t="s">
        <v>123</v>
      </c>
      <c r="I22" s="7" t="s">
        <v>27</v>
      </c>
      <c r="J22" s="7" t="s">
        <v>124</v>
      </c>
      <c r="K22" s="7" t="s">
        <v>70</v>
      </c>
      <c r="L22" s="7" t="s">
        <v>120</v>
      </c>
    </row>
    <row r="23" ht="30" spans="1:12">
      <c r="A23" s="7" t="s">
        <v>125</v>
      </c>
      <c r="B23" s="7" t="s">
        <v>126</v>
      </c>
      <c r="C23" s="7" t="s">
        <v>126</v>
      </c>
      <c r="D23" s="7">
        <v>200</v>
      </c>
      <c r="E23" s="7">
        <v>200</v>
      </c>
      <c r="F23" s="7" t="s">
        <v>16</v>
      </c>
      <c r="G23" s="7" t="s">
        <v>127</v>
      </c>
      <c r="H23" s="7" t="s">
        <v>128</v>
      </c>
      <c r="I23" s="7" t="s">
        <v>129</v>
      </c>
      <c r="J23" s="7" t="s">
        <v>130</v>
      </c>
      <c r="K23" s="7" t="s">
        <v>70</v>
      </c>
      <c r="L23" s="7" t="s">
        <v>131</v>
      </c>
    </row>
    <row r="24" ht="30" spans="1:12">
      <c r="A24" s="7" t="s">
        <v>132</v>
      </c>
      <c r="B24" s="7" t="s">
        <v>133</v>
      </c>
      <c r="C24" s="7" t="s">
        <v>133</v>
      </c>
      <c r="D24" s="7">
        <v>79</v>
      </c>
      <c r="E24" s="7">
        <v>79</v>
      </c>
      <c r="F24" s="7" t="s">
        <v>16</v>
      </c>
      <c r="G24" s="7" t="s">
        <v>25</v>
      </c>
      <c r="H24" s="7" t="s">
        <v>134</v>
      </c>
      <c r="I24" s="7" t="s">
        <v>27</v>
      </c>
      <c r="J24" s="7" t="s">
        <v>135</v>
      </c>
      <c r="K24" s="7" t="s">
        <v>70</v>
      </c>
      <c r="L24" s="7" t="s">
        <v>57</v>
      </c>
    </row>
    <row r="25" ht="30" spans="1:12">
      <c r="A25" s="7" t="s">
        <v>136</v>
      </c>
      <c r="B25" s="7" t="s">
        <v>137</v>
      </c>
      <c r="C25" s="7" t="s">
        <v>137</v>
      </c>
      <c r="D25" s="7">
        <v>80</v>
      </c>
      <c r="E25" s="7">
        <v>80</v>
      </c>
      <c r="F25" s="7" t="s">
        <v>16</v>
      </c>
      <c r="G25" s="7" t="s">
        <v>25</v>
      </c>
      <c r="H25" s="7" t="s">
        <v>138</v>
      </c>
      <c r="I25" s="7" t="s">
        <v>27</v>
      </c>
      <c r="J25" s="7" t="s">
        <v>139</v>
      </c>
      <c r="K25" s="7" t="s">
        <v>70</v>
      </c>
      <c r="L25" s="7" t="s">
        <v>140</v>
      </c>
    </row>
    <row r="26" ht="30" spans="1:12">
      <c r="A26" s="7" t="s">
        <v>141</v>
      </c>
      <c r="B26" s="7" t="s">
        <v>142</v>
      </c>
      <c r="C26" s="7" t="s">
        <v>142</v>
      </c>
      <c r="D26" s="7">
        <v>84</v>
      </c>
      <c r="E26" s="7">
        <v>84</v>
      </c>
      <c r="F26" s="7" t="s">
        <v>16</v>
      </c>
      <c r="G26" s="7" t="s">
        <v>25</v>
      </c>
      <c r="H26" s="7" t="s">
        <v>143</v>
      </c>
      <c r="I26" s="7" t="s">
        <v>27</v>
      </c>
      <c r="J26" s="7" t="s">
        <v>144</v>
      </c>
      <c r="K26" s="7" t="s">
        <v>70</v>
      </c>
      <c r="L26" s="7" t="s">
        <v>145</v>
      </c>
    </row>
    <row r="27" ht="30" spans="1:12">
      <c r="A27" s="7" t="s">
        <v>146</v>
      </c>
      <c r="B27" s="7" t="s">
        <v>147</v>
      </c>
      <c r="C27" s="7" t="s">
        <v>147</v>
      </c>
      <c r="D27" s="7">
        <v>85</v>
      </c>
      <c r="E27" s="7">
        <v>85</v>
      </c>
      <c r="F27" s="7" t="s">
        <v>65</v>
      </c>
      <c r="G27" s="7" t="s">
        <v>25</v>
      </c>
      <c r="H27" s="7" t="s">
        <v>148</v>
      </c>
      <c r="I27" s="7" t="s">
        <v>149</v>
      </c>
      <c r="J27" s="7" t="s">
        <v>150</v>
      </c>
      <c r="K27" s="7" t="s">
        <v>70</v>
      </c>
      <c r="L27" s="7" t="s">
        <v>151</v>
      </c>
    </row>
    <row r="28" ht="30" spans="1:12">
      <c r="A28" s="7" t="s">
        <v>152</v>
      </c>
      <c r="B28" s="7" t="s">
        <v>153</v>
      </c>
      <c r="C28" s="7" t="s">
        <v>153</v>
      </c>
      <c r="D28" s="7">
        <v>86</v>
      </c>
      <c r="E28" s="7">
        <v>86</v>
      </c>
      <c r="F28" s="7" t="s">
        <v>65</v>
      </c>
      <c r="G28" s="7" t="s">
        <v>154</v>
      </c>
      <c r="H28" s="7" t="s">
        <v>155</v>
      </c>
      <c r="I28" s="7" t="s">
        <v>156</v>
      </c>
      <c r="J28" s="7" t="s">
        <v>157</v>
      </c>
      <c r="K28" s="7" t="s">
        <v>70</v>
      </c>
      <c r="L28" s="7" t="s">
        <v>158</v>
      </c>
    </row>
    <row r="29" ht="30" spans="1:12">
      <c r="A29" s="7" t="s">
        <v>159</v>
      </c>
      <c r="B29" s="7" t="s">
        <v>160</v>
      </c>
      <c r="C29" s="7" t="s">
        <v>160</v>
      </c>
      <c r="D29" s="7">
        <v>87</v>
      </c>
      <c r="E29" s="7">
        <v>87</v>
      </c>
      <c r="F29" s="7" t="s">
        <v>65</v>
      </c>
      <c r="G29" s="7" t="s">
        <v>161</v>
      </c>
      <c r="H29" s="7" t="s">
        <v>162</v>
      </c>
      <c r="I29" s="7" t="s">
        <v>163</v>
      </c>
      <c r="J29" s="7" t="s">
        <v>164</v>
      </c>
      <c r="K29" s="7" t="s">
        <v>70</v>
      </c>
      <c r="L29" s="7" t="s">
        <v>165</v>
      </c>
    </row>
    <row r="30" ht="30" spans="1:12">
      <c r="A30" s="7" t="s">
        <v>166</v>
      </c>
      <c r="B30" s="7" t="s">
        <v>167</v>
      </c>
      <c r="C30" s="7" t="s">
        <v>167</v>
      </c>
      <c r="D30" s="7">
        <v>22</v>
      </c>
      <c r="E30" s="7">
        <v>22</v>
      </c>
      <c r="F30" s="7" t="s">
        <v>16</v>
      </c>
      <c r="G30" s="7" t="s">
        <v>25</v>
      </c>
      <c r="H30" s="7" t="s">
        <v>168</v>
      </c>
      <c r="I30" s="7" t="s">
        <v>27</v>
      </c>
      <c r="J30" s="7" t="s">
        <v>169</v>
      </c>
      <c r="K30" s="7" t="s">
        <v>70</v>
      </c>
      <c r="L30" s="7" t="s">
        <v>140</v>
      </c>
    </row>
    <row r="31" ht="30" spans="1:12">
      <c r="A31" s="7" t="s">
        <v>170</v>
      </c>
      <c r="B31" s="7" t="s">
        <v>171</v>
      </c>
      <c r="C31" s="7" t="s">
        <v>171</v>
      </c>
      <c r="D31" s="7">
        <v>23</v>
      </c>
      <c r="E31" s="7">
        <v>23</v>
      </c>
      <c r="F31" s="7" t="s">
        <v>16</v>
      </c>
      <c r="G31" s="7" t="s">
        <v>25</v>
      </c>
      <c r="H31" s="7" t="s">
        <v>172</v>
      </c>
      <c r="I31" s="7" t="s">
        <v>27</v>
      </c>
      <c r="J31" s="7" t="s">
        <v>173</v>
      </c>
      <c r="K31" s="7" t="s">
        <v>70</v>
      </c>
      <c r="L31" s="7" t="s">
        <v>145</v>
      </c>
    </row>
    <row r="32" ht="30" spans="1:12">
      <c r="A32" s="7" t="s">
        <v>174</v>
      </c>
      <c r="B32" s="7" t="s">
        <v>175</v>
      </c>
      <c r="C32" s="7" t="s">
        <v>175</v>
      </c>
      <c r="D32" s="7">
        <v>27</v>
      </c>
      <c r="E32" s="7">
        <v>27</v>
      </c>
      <c r="F32" s="7" t="s">
        <v>65</v>
      </c>
      <c r="G32" s="7" t="s">
        <v>25</v>
      </c>
      <c r="H32" s="7" t="s">
        <v>176</v>
      </c>
      <c r="I32" s="7" t="s">
        <v>177</v>
      </c>
      <c r="J32" s="7" t="s">
        <v>178</v>
      </c>
      <c r="K32" s="7" t="s">
        <v>70</v>
      </c>
      <c r="L32" s="7" t="s">
        <v>179</v>
      </c>
    </row>
    <row r="33" ht="30" spans="1:12">
      <c r="A33" s="7" t="s">
        <v>180</v>
      </c>
      <c r="B33" s="7" t="s">
        <v>181</v>
      </c>
      <c r="C33" s="7" t="s">
        <v>181</v>
      </c>
      <c r="D33" s="7">
        <v>28</v>
      </c>
      <c r="E33" s="7">
        <v>28</v>
      </c>
      <c r="F33" s="7" t="s">
        <v>65</v>
      </c>
      <c r="G33" s="7" t="s">
        <v>154</v>
      </c>
      <c r="H33" s="7" t="s">
        <v>182</v>
      </c>
      <c r="I33" s="7" t="s">
        <v>183</v>
      </c>
      <c r="J33" s="7" t="s">
        <v>184</v>
      </c>
      <c r="K33" s="7" t="s">
        <v>70</v>
      </c>
      <c r="L33" s="7" t="s">
        <v>158</v>
      </c>
    </row>
    <row r="34" ht="30" spans="1:12">
      <c r="A34" s="7" t="s">
        <v>185</v>
      </c>
      <c r="B34" s="7" t="s">
        <v>186</v>
      </c>
      <c r="C34" s="7" t="s">
        <v>186</v>
      </c>
      <c r="D34" s="7">
        <v>29</v>
      </c>
      <c r="E34" s="7">
        <v>29</v>
      </c>
      <c r="F34" s="7" t="s">
        <v>65</v>
      </c>
      <c r="G34" s="7" t="s">
        <v>161</v>
      </c>
      <c r="H34" s="7" t="s">
        <v>187</v>
      </c>
      <c r="I34" s="7" t="s">
        <v>188</v>
      </c>
      <c r="J34" s="7" t="s">
        <v>189</v>
      </c>
      <c r="K34" s="7" t="s">
        <v>70</v>
      </c>
      <c r="L34" s="7" t="s">
        <v>165</v>
      </c>
    </row>
    <row r="35" ht="30" spans="1:12">
      <c r="A35" s="7" t="s">
        <v>190</v>
      </c>
      <c r="B35" s="7" t="s">
        <v>191</v>
      </c>
      <c r="C35" s="7" t="s">
        <v>191</v>
      </c>
      <c r="D35" s="7">
        <v>31</v>
      </c>
      <c r="E35" s="7">
        <v>31</v>
      </c>
      <c r="F35" s="7" t="s">
        <v>16</v>
      </c>
      <c r="G35" s="7" t="s">
        <v>25</v>
      </c>
      <c r="H35" s="7" t="s">
        <v>192</v>
      </c>
      <c r="I35" s="7" t="s">
        <v>27</v>
      </c>
      <c r="J35" s="7" t="s">
        <v>193</v>
      </c>
      <c r="K35" s="7" t="s">
        <v>70</v>
      </c>
      <c r="L35" s="7" t="s">
        <v>62</v>
      </c>
    </row>
    <row r="36" ht="30" spans="1:12">
      <c r="A36" s="7" t="s">
        <v>194</v>
      </c>
      <c r="B36" s="7" t="s">
        <v>195</v>
      </c>
      <c r="C36" s="7" t="s">
        <v>196</v>
      </c>
      <c r="D36" s="7">
        <v>147</v>
      </c>
      <c r="E36" s="7">
        <v>147</v>
      </c>
      <c r="F36" s="7" t="s">
        <v>16</v>
      </c>
      <c r="G36" s="7" t="s">
        <v>197</v>
      </c>
      <c r="H36" s="7" t="s">
        <v>198</v>
      </c>
      <c r="I36" s="7" t="s">
        <v>194</v>
      </c>
      <c r="J36" s="7" t="s">
        <v>199</v>
      </c>
      <c r="K36" s="7" t="s">
        <v>200</v>
      </c>
      <c r="L36" s="7" t="s">
        <v>201</v>
      </c>
    </row>
    <row r="37" ht="30" spans="1:12">
      <c r="A37" s="7" t="s">
        <v>202</v>
      </c>
      <c r="B37" s="7" t="s">
        <v>203</v>
      </c>
      <c r="C37" s="7" t="s">
        <v>204</v>
      </c>
      <c r="D37" s="7">
        <v>159</v>
      </c>
      <c r="E37" s="7">
        <v>159</v>
      </c>
      <c r="F37" s="7" t="s">
        <v>16</v>
      </c>
      <c r="G37" s="7" t="s">
        <v>197</v>
      </c>
      <c r="H37" s="7" t="s">
        <v>205</v>
      </c>
      <c r="I37" s="7" t="s">
        <v>202</v>
      </c>
      <c r="J37" s="7" t="s">
        <v>206</v>
      </c>
      <c r="K37" s="7" t="s">
        <v>200</v>
      </c>
      <c r="L37" s="7" t="s">
        <v>201</v>
      </c>
    </row>
    <row r="38" ht="30" spans="1:12">
      <c r="A38" s="7" t="s">
        <v>207</v>
      </c>
      <c r="B38" s="7" t="s">
        <v>208</v>
      </c>
      <c r="C38" s="7" t="s">
        <v>208</v>
      </c>
      <c r="D38" s="7">
        <v>161</v>
      </c>
      <c r="E38" s="7">
        <v>161</v>
      </c>
      <c r="F38" s="7" t="s">
        <v>209</v>
      </c>
      <c r="G38" s="7" t="s">
        <v>32</v>
      </c>
      <c r="H38" s="7" t="s">
        <v>210</v>
      </c>
      <c r="I38" s="7" t="s">
        <v>211</v>
      </c>
      <c r="J38" s="7" t="s">
        <v>212</v>
      </c>
      <c r="K38" s="7" t="s">
        <v>200</v>
      </c>
      <c r="L38" s="7" t="s">
        <v>213</v>
      </c>
    </row>
    <row r="39" ht="30" spans="1:12">
      <c r="A39" s="7" t="s">
        <v>214</v>
      </c>
      <c r="B39" s="7" t="s">
        <v>215</v>
      </c>
      <c r="C39" s="7" t="s">
        <v>215</v>
      </c>
      <c r="D39" s="7">
        <v>162</v>
      </c>
      <c r="E39" s="7">
        <v>162</v>
      </c>
      <c r="F39" s="7" t="s">
        <v>209</v>
      </c>
      <c r="G39" s="7" t="s">
        <v>17</v>
      </c>
      <c r="H39" s="7" t="s">
        <v>216</v>
      </c>
      <c r="I39" s="7" t="s">
        <v>217</v>
      </c>
      <c r="J39" s="7" t="s">
        <v>218</v>
      </c>
      <c r="K39" s="7" t="s">
        <v>200</v>
      </c>
      <c r="L39" s="7" t="s">
        <v>219</v>
      </c>
    </row>
    <row r="40" ht="30" spans="1:12">
      <c r="A40" s="7" t="s">
        <v>220</v>
      </c>
      <c r="B40" s="7" t="s">
        <v>220</v>
      </c>
      <c r="C40" s="7" t="s">
        <v>220</v>
      </c>
      <c r="D40" s="7">
        <v>197</v>
      </c>
      <c r="E40" s="7">
        <v>197</v>
      </c>
      <c r="F40" s="7" t="s">
        <v>16</v>
      </c>
      <c r="G40" s="7" t="s">
        <v>221</v>
      </c>
      <c r="H40" s="7" t="s">
        <v>222</v>
      </c>
      <c r="I40" s="7" t="s">
        <v>220</v>
      </c>
      <c r="J40" s="7" t="s">
        <v>223</v>
      </c>
      <c r="K40" s="7" t="s">
        <v>42</v>
      </c>
      <c r="L40" s="7" t="s">
        <v>224</v>
      </c>
    </row>
    <row r="41" ht="30" spans="1:12">
      <c r="A41" s="7" t="s">
        <v>225</v>
      </c>
      <c r="B41" s="7" t="s">
        <v>226</v>
      </c>
      <c r="C41" s="7" t="s">
        <v>227</v>
      </c>
      <c r="D41" s="7">
        <v>63</v>
      </c>
      <c r="E41" s="7">
        <v>63</v>
      </c>
      <c r="F41" s="7" t="s">
        <v>16</v>
      </c>
      <c r="G41" s="7" t="s">
        <v>221</v>
      </c>
      <c r="H41" s="7" t="s">
        <v>222</v>
      </c>
      <c r="I41" s="7" t="s">
        <v>228</v>
      </c>
      <c r="J41" s="7" t="s">
        <v>229</v>
      </c>
      <c r="K41" s="7" t="s">
        <v>119</v>
      </c>
      <c r="L41" s="7" t="s">
        <v>230</v>
      </c>
    </row>
    <row r="42" ht="30" spans="1:12">
      <c r="A42" s="7" t="s">
        <v>231</v>
      </c>
      <c r="B42" s="7" t="s">
        <v>231</v>
      </c>
      <c r="C42" s="7" t="s">
        <v>231</v>
      </c>
      <c r="D42" s="7">
        <v>34</v>
      </c>
      <c r="E42" s="7">
        <v>34</v>
      </c>
      <c r="F42" s="7" t="s">
        <v>16</v>
      </c>
      <c r="G42" s="7" t="s">
        <v>232</v>
      </c>
      <c r="H42" s="7" t="s">
        <v>233</v>
      </c>
      <c r="I42" s="7" t="s">
        <v>234</v>
      </c>
      <c r="J42" s="7" t="s">
        <v>235</v>
      </c>
      <c r="K42" s="7" t="s">
        <v>42</v>
      </c>
      <c r="L42" s="7" t="s">
        <v>236</v>
      </c>
    </row>
  </sheetData>
  <mergeCells count="2">
    <mergeCell ref="A1:L1"/>
    <mergeCell ref="A2:L2"/>
  </mergeCells>
  <conditionalFormatting sqref="F5:F42">
    <cfRule type="expression" dxfId="0" priority="1">
      <formula>ISNUMBER(SEARCH("mismatch",F5))</formula>
    </cfRule>
    <cfRule type="expression" dxfId="1" priority="2">
      <formula>F5="OK"</formula>
    </cfRule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5" outlineLevelRow="6" outlineLevelCol="1"/>
  <cols>
    <col min="1" max="1" width="28" customWidth="1"/>
    <col min="2" max="2" width="90" customWidth="1"/>
  </cols>
  <sheetData>
    <row r="1" spans="1:2">
      <c r="A1" s="1" t="s">
        <v>237</v>
      </c>
      <c r="B1" s="1" t="s">
        <v>238</v>
      </c>
    </row>
    <row r="2" spans="1:2">
      <c r="A2" s="2" t="s">
        <v>239</v>
      </c>
      <c r="B2" s="2" t="s">
        <v>240</v>
      </c>
    </row>
    <row r="3" spans="1:2">
      <c r="A3" s="2" t="s">
        <v>241</v>
      </c>
      <c r="B3" s="2" t="s">
        <v>242</v>
      </c>
    </row>
    <row r="4" ht="30" spans="1:2">
      <c r="A4" s="2" t="s">
        <v>243</v>
      </c>
      <c r="B4" s="2" t="s">
        <v>244</v>
      </c>
    </row>
    <row r="5" spans="1:2">
      <c r="A5" s="2" t="s">
        <v>245</v>
      </c>
      <c r="B5" s="2" t="s">
        <v>246</v>
      </c>
    </row>
    <row r="6" ht="45" spans="1:2">
      <c r="A6" s="2" t="s">
        <v>247</v>
      </c>
      <c r="B6" s="2" t="s">
        <v>248</v>
      </c>
    </row>
    <row r="7" ht="30" spans="1:2">
      <c r="A7" s="2" t="s">
        <v>249</v>
      </c>
      <c r="B7" s="2" t="s">
        <v>250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A1" sqref="A1"/>
    </sheetView>
  </sheetViews>
  <sheetFormatPr defaultColWidth="9" defaultRowHeight="15" outlineLevelCol="3"/>
  <cols>
    <col min="1" max="1" width="20" customWidth="1"/>
    <col min="2" max="2" width="34" customWidth="1"/>
    <col min="3" max="3" width="48" customWidth="1"/>
    <col min="4" max="4" width="60" customWidth="1"/>
  </cols>
  <sheetData>
    <row r="1" spans="1:4">
      <c r="A1" s="1" t="s">
        <v>251</v>
      </c>
      <c r="B1" s="1" t="s">
        <v>252</v>
      </c>
      <c r="C1" s="1" t="s">
        <v>253</v>
      </c>
      <c r="D1" s="1" t="s">
        <v>13</v>
      </c>
    </row>
    <row r="2" spans="1:4">
      <c r="A2" s="2" t="s">
        <v>254</v>
      </c>
      <c r="B2" s="2" t="s">
        <v>255</v>
      </c>
      <c r="C2" s="2" t="s">
        <v>256</v>
      </c>
      <c r="D2" s="2" t="s">
        <v>85</v>
      </c>
    </row>
    <row r="3" spans="1:4">
      <c r="A3" s="2" t="s">
        <v>257</v>
      </c>
      <c r="B3" s="2" t="s">
        <v>258</v>
      </c>
      <c r="C3" s="2" t="s">
        <v>259</v>
      </c>
      <c r="D3" s="2" t="s">
        <v>260</v>
      </c>
    </row>
    <row r="4" ht="30" spans="1:4">
      <c r="A4" s="2" t="s">
        <v>261</v>
      </c>
      <c r="B4" s="2" t="s">
        <v>262</v>
      </c>
      <c r="C4" s="2" t="s">
        <v>263</v>
      </c>
      <c r="D4" s="2" t="s">
        <v>264</v>
      </c>
    </row>
    <row r="5" ht="30" spans="1:4">
      <c r="A5" s="2" t="s">
        <v>265</v>
      </c>
      <c r="B5" s="2" t="s">
        <v>266</v>
      </c>
      <c r="C5" s="2" t="s">
        <v>267</v>
      </c>
      <c r="D5" s="2" t="s">
        <v>268</v>
      </c>
    </row>
    <row r="6" spans="1:4">
      <c r="A6" s="2" t="s">
        <v>269</v>
      </c>
      <c r="B6" s="2" t="s">
        <v>270</v>
      </c>
      <c r="C6" s="2" t="s">
        <v>271</v>
      </c>
      <c r="D6" s="2" t="s">
        <v>272</v>
      </c>
    </row>
    <row r="7" spans="1:4">
      <c r="A7" s="2" t="s">
        <v>273</v>
      </c>
      <c r="B7" s="2" t="s">
        <v>274</v>
      </c>
      <c r="C7" s="2" t="s">
        <v>275</v>
      </c>
      <c r="D7" s="2" t="s">
        <v>276</v>
      </c>
    </row>
    <row r="8" spans="1:4">
      <c r="A8" s="2" t="s">
        <v>277</v>
      </c>
      <c r="B8" s="2" t="s">
        <v>278</v>
      </c>
      <c r="C8" s="2" t="s">
        <v>279</v>
      </c>
      <c r="D8" s="2" t="s">
        <v>280</v>
      </c>
    </row>
    <row r="9" ht="30" spans="1:4">
      <c r="A9" s="2" t="s">
        <v>281</v>
      </c>
      <c r="B9" s="2" t="s">
        <v>282</v>
      </c>
      <c r="C9" s="2" t="s">
        <v>283</v>
      </c>
      <c r="D9" s="2" t="s">
        <v>284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"/>
  <sheetViews>
    <sheetView workbookViewId="0">
      <selection activeCell="A1" sqref="A1"/>
    </sheetView>
  </sheetViews>
  <sheetFormatPr defaultColWidth="9" defaultRowHeight="15" outlineLevelRow="6" outlineLevelCol="1"/>
  <cols>
    <col min="1" max="1" width="28" customWidth="1"/>
    <col min="2" max="2" width="90" customWidth="1"/>
  </cols>
  <sheetData>
    <row r="1" spans="1:2">
      <c r="A1" s="1" t="s">
        <v>12</v>
      </c>
      <c r="B1" s="1" t="s">
        <v>285</v>
      </c>
    </row>
    <row r="2" spans="1:2">
      <c r="A2" s="2" t="s">
        <v>286</v>
      </c>
      <c r="B2" s="2" t="s">
        <v>287</v>
      </c>
    </row>
    <row r="3" spans="1:2">
      <c r="A3" s="2" t="s">
        <v>288</v>
      </c>
      <c r="B3" s="2" t="s">
        <v>289</v>
      </c>
    </row>
    <row r="4" spans="1:2">
      <c r="A4" s="2" t="s">
        <v>290</v>
      </c>
      <c r="B4" s="2" t="s">
        <v>291</v>
      </c>
    </row>
    <row r="5" spans="1:2">
      <c r="A5" s="2" t="s">
        <v>292</v>
      </c>
      <c r="B5" s="2" t="s">
        <v>293</v>
      </c>
    </row>
    <row r="6" spans="1:2">
      <c r="A6" s="2" t="s">
        <v>294</v>
      </c>
      <c r="B6" s="2" t="s">
        <v>295</v>
      </c>
    </row>
    <row r="7" ht="30" spans="1:2">
      <c r="A7" s="2" t="s">
        <v>296</v>
      </c>
      <c r="B7" s="2" t="s">
        <v>297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MCU_Pin_Map</vt:lpstr>
      <vt:lpstr>Check_Summary</vt:lpstr>
      <vt:lpstr>Zephyr_Notes</vt:lpstr>
      <vt:lpstr>Source_Reference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yong</cp:lastModifiedBy>
  <dcterms:created xsi:type="dcterms:W3CDTF">2026-06-04T12:49:28Z</dcterms:created>
  <dcterms:modified xsi:type="dcterms:W3CDTF">2026-06-04T12:50:09Z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